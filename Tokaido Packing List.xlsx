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35460" windowHeight="15090"/>
  </bookViews>
  <sheets>
    <sheet name="Tokaido Packing List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47" i="1" l="1"/>
  <c r="E61" i="1"/>
  <c r="E79" i="1" l="1"/>
  <c r="E33" i="1"/>
  <c r="E35" i="1"/>
  <c r="E60" i="1"/>
  <c r="D81" i="1" l="1"/>
  <c r="D63" i="1"/>
  <c r="D37" i="1"/>
  <c r="E28" i="1"/>
  <c r="D25" i="1"/>
  <c r="D18" i="1"/>
  <c r="D85" i="1" s="1"/>
  <c r="E59" i="1" l="1"/>
  <c r="E77" i="1" l="1"/>
  <c r="E56" i="1"/>
  <c r="E34" i="1" l="1"/>
  <c r="E54" i="1" l="1"/>
  <c r="E74" i="1"/>
  <c r="E58" i="1"/>
  <c r="D50" i="1"/>
  <c r="D51" i="1" s="1"/>
  <c r="D84" i="1" s="1"/>
  <c r="D86" i="1" s="1"/>
  <c r="E80" i="1" l="1"/>
  <c r="E24" i="1"/>
  <c r="E75" i="1"/>
  <c r="E17" i="1"/>
  <c r="E78" i="1"/>
  <c r="E76" i="1"/>
  <c r="E73" i="1"/>
  <c r="E72" i="1"/>
  <c r="E50" i="1" l="1"/>
  <c r="E36" i="1" l="1"/>
  <c r="E32" i="1"/>
  <c r="E31" i="1"/>
  <c r="E30" i="1"/>
  <c r="E62" i="1"/>
  <c r="E57" i="1"/>
  <c r="E55" i="1"/>
  <c r="E53" i="1"/>
  <c r="E49" i="1"/>
  <c r="E48" i="1"/>
  <c r="E46" i="1"/>
  <c r="E45" i="1"/>
  <c r="E44" i="1"/>
  <c r="E43" i="1"/>
  <c r="E42" i="1"/>
  <c r="E41" i="1"/>
  <c r="E40" i="1"/>
  <c r="E39" i="1"/>
  <c r="E29" i="1"/>
  <c r="E27" i="1"/>
  <c r="E23" i="1"/>
  <c r="E22" i="1"/>
  <c r="E21" i="1"/>
  <c r="E16" i="1"/>
  <c r="E15" i="1"/>
  <c r="E14" i="1"/>
  <c r="E13" i="1"/>
  <c r="E12" i="1"/>
  <c r="E11" i="1"/>
  <c r="E10" i="1"/>
  <c r="E9" i="1"/>
  <c r="E8" i="1"/>
  <c r="E7" i="1"/>
  <c r="E6" i="1"/>
  <c r="E5" i="1"/>
  <c r="E71" i="1"/>
  <c r="E70" i="1"/>
  <c r="E69" i="1"/>
  <c r="E68" i="1"/>
  <c r="E67" i="1"/>
  <c r="E66" i="1"/>
  <c r="E65" i="1"/>
  <c r="E25" i="1" l="1"/>
  <c r="E51" i="1"/>
  <c r="E18" i="1"/>
  <c r="E81" i="1"/>
  <c r="E63" i="1"/>
  <c r="E37" i="1"/>
  <c r="E85" i="1" l="1"/>
  <c r="E84" i="1"/>
  <c r="E86" i="1" l="1"/>
</calcChain>
</file>

<file path=xl/sharedStrings.xml><?xml version="1.0" encoding="utf-8"?>
<sst xmlns="http://schemas.openxmlformats.org/spreadsheetml/2006/main" count="81" uniqueCount="73">
  <si>
    <t>Tokaido Packing List</t>
  </si>
  <si>
    <t>On Body</t>
  </si>
  <si>
    <t>Pants</t>
  </si>
  <si>
    <t>Shirt</t>
  </si>
  <si>
    <t>Underwear</t>
  </si>
  <si>
    <t>Socks</t>
  </si>
  <si>
    <t>Belt</t>
  </si>
  <si>
    <t>In Backpack</t>
  </si>
  <si>
    <t>Computer</t>
  </si>
  <si>
    <t>Toothpaste</t>
  </si>
  <si>
    <t>Toothbrush</t>
  </si>
  <si>
    <t>Toothbrush charger</t>
  </si>
  <si>
    <t>Retainer</t>
  </si>
  <si>
    <t>Retainer brush</t>
  </si>
  <si>
    <t>Razor</t>
  </si>
  <si>
    <t>Toothbrush case</t>
  </si>
  <si>
    <t>Vaseline</t>
  </si>
  <si>
    <t>Tums</t>
  </si>
  <si>
    <t>Chap Stick</t>
  </si>
  <si>
    <t>Keys</t>
  </si>
  <si>
    <t>Cell Phone</t>
  </si>
  <si>
    <t>Cell phone cable</t>
  </si>
  <si>
    <t>Headset</t>
  </si>
  <si>
    <t>Headset cable</t>
  </si>
  <si>
    <t>Watch</t>
  </si>
  <si>
    <t>Watch cable</t>
  </si>
  <si>
    <t>Charger adapter</t>
  </si>
  <si>
    <t>Shorts</t>
  </si>
  <si>
    <t>Shoes</t>
  </si>
  <si>
    <t>Sunglasses</t>
  </si>
  <si>
    <t>Deodorant x2</t>
  </si>
  <si>
    <t>Nail clipper</t>
  </si>
  <si>
    <t>Backpack</t>
  </si>
  <si>
    <t>Backpack rain cover</t>
  </si>
  <si>
    <t>Jacket</t>
  </si>
  <si>
    <t>Hat</t>
  </si>
  <si>
    <t>Eye mask</t>
  </si>
  <si>
    <t>Rain Jacket</t>
  </si>
  <si>
    <t>Medicine</t>
  </si>
  <si>
    <t>Water bottle</t>
  </si>
  <si>
    <t>Allergy pills</t>
  </si>
  <si>
    <t>Grams</t>
  </si>
  <si>
    <t>Lb.</t>
  </si>
  <si>
    <t>Backpack total</t>
  </si>
  <si>
    <t>Grand total</t>
  </si>
  <si>
    <t>Wallet</t>
  </si>
  <si>
    <t>Face masks</t>
  </si>
  <si>
    <t>Passport</t>
  </si>
  <si>
    <t>Sunscreen</t>
  </si>
  <si>
    <t>Mosquito head net</t>
  </si>
  <si>
    <t>MMX Cap</t>
  </si>
  <si>
    <t>Passport case</t>
  </si>
  <si>
    <t>grams</t>
  </si>
  <si>
    <t>Computer Cable</t>
  </si>
  <si>
    <t>Eyeglasses w/case</t>
  </si>
  <si>
    <t>Wire bag</t>
  </si>
  <si>
    <t>Toiletry Bag x2</t>
  </si>
  <si>
    <t>Straps x4</t>
  </si>
  <si>
    <t>Pill holder</t>
  </si>
  <si>
    <t>Laundry bag</t>
  </si>
  <si>
    <t>Pepto Bismol</t>
  </si>
  <si>
    <t>Pen</t>
  </si>
  <si>
    <t>Medicine bag</t>
  </si>
  <si>
    <t>Blister kit</t>
  </si>
  <si>
    <t>Shoe Inserts</t>
  </si>
  <si>
    <t>Worn on body</t>
  </si>
  <si>
    <t>pounds</t>
  </si>
  <si>
    <t>Total</t>
  </si>
  <si>
    <t>CPAP</t>
  </si>
  <si>
    <t>Earbuds</t>
  </si>
  <si>
    <t>CPAP cable</t>
  </si>
  <si>
    <t>CPAP brush</t>
  </si>
  <si>
    <t>Floss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</si>
</sst>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1" fontId="1" fillId="0" borderId="1" xfId="0" applyNumberFormat="1" applyFont="1" applyBorder="1"/>
    <xf numFmtId="1" fontId="1" fillId="0" borderId="0" xfId="0" applyNumberFormat="1" applyFont="1"/>
    <xf numFmtId="1" fontId="1" fillId="0" borderId="0" xfId="0" applyNumberFormat="1" applyFont="1" applyBorder="1"/>
    <xf numFmtId="0" fontId="1" fillId="0" borderId="2" xfId="0" applyFont="1" applyBorder="1"/>
    <xf numFmtId="1" fontId="1" fillId="0" borderId="2" xfId="0" applyNumberFormat="1" applyFont="1" applyBorder="1"/>
    <xf numFmtId="164" fontId="1" fillId="0" borderId="2" xfId="0" applyNumberFormat="1" applyFont="1" applyBorder="1"/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86"/>
  <sheetViews>
    <sheetView tabSelected="1" topLeftCell="A22" zoomScale="90" zoomScaleNormal="90" workbookViewId="0">
      <selection activeCell="E47" sqref="E47"/>
    </sheetView>
  </sheetViews>
  <sheetFormatPr defaultRowHeight="18.5" x14ac:dyDescent="0.45"/>
  <cols>
    <col min="1" max="2" width="8.7265625" style="1"/>
    <col min="3" max="3" width="22.26953125" style="1" customWidth="1"/>
    <col min="4" max="4" width="10.08984375" style="1" customWidth="1"/>
    <col min="5" max="16384" width="8.7265625" style="1"/>
  </cols>
  <sheetData>
    <row r="2" spans="2:5" x14ac:dyDescent="0.45">
      <c r="B2" s="1" t="s">
        <v>0</v>
      </c>
    </row>
    <row r="4" spans="2:5" x14ac:dyDescent="0.45">
      <c r="B4" s="1" t="s">
        <v>1</v>
      </c>
      <c r="D4" s="2" t="s">
        <v>41</v>
      </c>
      <c r="E4" s="2" t="s">
        <v>42</v>
      </c>
    </row>
    <row r="5" spans="2:5" x14ac:dyDescent="0.45">
      <c r="C5" s="1" t="s">
        <v>2</v>
      </c>
      <c r="D5" s="4">
        <v>408</v>
      </c>
      <c r="E5" s="3">
        <f t="shared" ref="E5:E62" si="0">D5/1000*2.2</f>
        <v>0.89760000000000006</v>
      </c>
    </row>
    <row r="6" spans="2:5" x14ac:dyDescent="0.45">
      <c r="C6" s="1" t="s">
        <v>3</v>
      </c>
      <c r="D6" s="4">
        <v>232</v>
      </c>
      <c r="E6" s="3">
        <f t="shared" si="0"/>
        <v>0.51040000000000008</v>
      </c>
    </row>
    <row r="7" spans="2:5" x14ac:dyDescent="0.45">
      <c r="C7" s="1" t="s">
        <v>4</v>
      </c>
      <c r="D7" s="4">
        <v>58</v>
      </c>
      <c r="E7" s="3">
        <f t="shared" si="0"/>
        <v>0.12760000000000002</v>
      </c>
    </row>
    <row r="8" spans="2:5" x14ac:dyDescent="0.45">
      <c r="C8" s="1" t="s">
        <v>5</v>
      </c>
      <c r="D8" s="4">
        <v>60</v>
      </c>
      <c r="E8" s="3">
        <f t="shared" si="0"/>
        <v>0.13200000000000001</v>
      </c>
    </row>
    <row r="9" spans="2:5" x14ac:dyDescent="0.45">
      <c r="C9" s="1" t="s">
        <v>6</v>
      </c>
      <c r="D9" s="4">
        <v>170</v>
      </c>
      <c r="E9" s="3">
        <f t="shared" si="0"/>
        <v>0.37400000000000005</v>
      </c>
    </row>
    <row r="10" spans="2:5" x14ac:dyDescent="0.45">
      <c r="C10" s="1" t="s">
        <v>28</v>
      </c>
      <c r="D10" s="4">
        <v>1000</v>
      </c>
      <c r="E10" s="3">
        <f t="shared" si="0"/>
        <v>2.2000000000000002</v>
      </c>
    </row>
    <row r="11" spans="2:5" x14ac:dyDescent="0.45">
      <c r="C11" s="1" t="s">
        <v>18</v>
      </c>
      <c r="D11" s="4">
        <v>10</v>
      </c>
      <c r="E11" s="3">
        <f t="shared" si="0"/>
        <v>2.2000000000000002E-2</v>
      </c>
    </row>
    <row r="12" spans="2:5" x14ac:dyDescent="0.45">
      <c r="C12" s="1" t="s">
        <v>20</v>
      </c>
      <c r="D12" s="4">
        <v>264</v>
      </c>
      <c r="E12" s="3">
        <f t="shared" si="0"/>
        <v>0.58080000000000009</v>
      </c>
    </row>
    <row r="13" spans="2:5" x14ac:dyDescent="0.45">
      <c r="C13" s="1" t="s">
        <v>22</v>
      </c>
      <c r="D13" s="4">
        <v>30</v>
      </c>
      <c r="E13" s="3">
        <f t="shared" si="0"/>
        <v>6.6000000000000003E-2</v>
      </c>
    </row>
    <row r="14" spans="2:5" x14ac:dyDescent="0.45">
      <c r="C14" s="1" t="s">
        <v>24</v>
      </c>
      <c r="D14" s="4">
        <v>96</v>
      </c>
      <c r="E14" s="3">
        <f t="shared" si="0"/>
        <v>0.21120000000000003</v>
      </c>
    </row>
    <row r="15" spans="2:5" x14ac:dyDescent="0.45">
      <c r="C15" s="1" t="s">
        <v>29</v>
      </c>
      <c r="D15" s="4">
        <v>38</v>
      </c>
      <c r="E15" s="3">
        <f t="shared" si="0"/>
        <v>8.3600000000000008E-2</v>
      </c>
    </row>
    <row r="16" spans="2:5" x14ac:dyDescent="0.45">
      <c r="C16" s="1" t="s">
        <v>35</v>
      </c>
      <c r="D16" s="4">
        <v>100</v>
      </c>
      <c r="E16" s="3">
        <f t="shared" si="0"/>
        <v>0.22000000000000003</v>
      </c>
    </row>
    <row r="17" spans="2:5" x14ac:dyDescent="0.45">
      <c r="C17" s="1" t="s">
        <v>45</v>
      </c>
      <c r="D17" s="4">
        <v>114</v>
      </c>
      <c r="E17" s="3">
        <f t="shared" si="0"/>
        <v>0.25080000000000002</v>
      </c>
    </row>
    <row r="18" spans="2:5" x14ac:dyDescent="0.45">
      <c r="C18" s="1" t="s">
        <v>67</v>
      </c>
      <c r="D18" s="5">
        <f>SUM(D5:D17)</f>
        <v>2580</v>
      </c>
      <c r="E18" s="3">
        <f>SUM(E5:E17)</f>
        <v>5.6759999999999993</v>
      </c>
    </row>
    <row r="19" spans="2:5" x14ac:dyDescent="0.45">
      <c r="D19" s="6"/>
      <c r="E19" s="3"/>
    </row>
    <row r="20" spans="2:5" x14ac:dyDescent="0.45">
      <c r="B20" s="1" t="s">
        <v>7</v>
      </c>
      <c r="D20" s="6"/>
      <c r="E20" s="3"/>
    </row>
    <row r="21" spans="2:5" x14ac:dyDescent="0.45">
      <c r="C21" s="1" t="s">
        <v>32</v>
      </c>
      <c r="D21" s="4">
        <v>990</v>
      </c>
      <c r="E21" s="3">
        <f t="shared" si="0"/>
        <v>2.1779999999999999</v>
      </c>
    </row>
    <row r="22" spans="2:5" x14ac:dyDescent="0.45">
      <c r="C22" s="1" t="s">
        <v>33</v>
      </c>
      <c r="D22" s="4">
        <v>86</v>
      </c>
      <c r="E22" s="3">
        <f t="shared" si="0"/>
        <v>0.18920000000000001</v>
      </c>
    </row>
    <row r="23" spans="2:5" x14ac:dyDescent="0.45">
      <c r="C23" s="1" t="s">
        <v>57</v>
      </c>
      <c r="D23" s="4">
        <v>36</v>
      </c>
      <c r="E23" s="3">
        <f t="shared" si="0"/>
        <v>7.9200000000000007E-2</v>
      </c>
    </row>
    <row r="24" spans="2:5" x14ac:dyDescent="0.45">
      <c r="C24" s="1" t="s">
        <v>48</v>
      </c>
      <c r="D24" s="4">
        <v>112</v>
      </c>
      <c r="E24" s="3">
        <f>D24/1000*2.2</f>
        <v>0.24640000000000004</v>
      </c>
    </row>
    <row r="25" spans="2:5" x14ac:dyDescent="0.45">
      <c r="C25" s="1" t="s">
        <v>67</v>
      </c>
      <c r="D25" s="5">
        <f>SUM(D20:D24)</f>
        <v>1224</v>
      </c>
      <c r="E25" s="3">
        <f>SUM(E20:E24)</f>
        <v>2.6928000000000001</v>
      </c>
    </row>
    <row r="26" spans="2:5" x14ac:dyDescent="0.45">
      <c r="D26" s="6"/>
      <c r="E26" s="3"/>
    </row>
    <row r="27" spans="2:5" x14ac:dyDescent="0.45">
      <c r="C27" s="1" t="s">
        <v>8</v>
      </c>
      <c r="D27" s="4">
        <v>1970</v>
      </c>
      <c r="E27" s="3">
        <f t="shared" si="0"/>
        <v>4.3340000000000005</v>
      </c>
    </row>
    <row r="28" spans="2:5" x14ac:dyDescent="0.45">
      <c r="C28" s="1" t="s">
        <v>55</v>
      </c>
      <c r="D28" s="4">
        <v>54</v>
      </c>
      <c r="E28" s="3">
        <f t="shared" si="0"/>
        <v>0.1188</v>
      </c>
    </row>
    <row r="29" spans="2:5" x14ac:dyDescent="0.45">
      <c r="C29" s="1" t="s">
        <v>53</v>
      </c>
      <c r="D29" s="4">
        <v>72</v>
      </c>
      <c r="E29" s="3">
        <f t="shared" si="0"/>
        <v>0.15840000000000001</v>
      </c>
    </row>
    <row r="30" spans="2:5" x14ac:dyDescent="0.45">
      <c r="C30" s="1" t="s">
        <v>21</v>
      </c>
      <c r="D30" s="4">
        <v>28</v>
      </c>
      <c r="E30" s="3">
        <f t="shared" ref="E30:E36" si="1">D30/1000*2.2</f>
        <v>6.1600000000000009E-2</v>
      </c>
    </row>
    <row r="31" spans="2:5" x14ac:dyDescent="0.45">
      <c r="C31" s="1" t="s">
        <v>23</v>
      </c>
      <c r="D31" s="4">
        <v>14</v>
      </c>
      <c r="E31" s="3">
        <f t="shared" si="1"/>
        <v>3.0800000000000004E-2</v>
      </c>
    </row>
    <row r="32" spans="2:5" x14ac:dyDescent="0.45">
      <c r="C32" s="1" t="s">
        <v>25</v>
      </c>
      <c r="D32" s="4">
        <v>14</v>
      </c>
      <c r="E32" s="3">
        <f t="shared" si="1"/>
        <v>3.0800000000000004E-2</v>
      </c>
    </row>
    <row r="33" spans="3:5" x14ac:dyDescent="0.45">
      <c r="C33" s="1" t="s">
        <v>70</v>
      </c>
      <c r="D33" s="4">
        <v>80</v>
      </c>
      <c r="E33" s="3">
        <f t="shared" si="1"/>
        <v>0.17600000000000002</v>
      </c>
    </row>
    <row r="34" spans="3:5" x14ac:dyDescent="0.45">
      <c r="C34" s="1" t="s">
        <v>61</v>
      </c>
      <c r="D34" s="4">
        <v>12</v>
      </c>
      <c r="E34" s="3">
        <f t="shared" si="1"/>
        <v>2.6400000000000003E-2</v>
      </c>
    </row>
    <row r="35" spans="3:5" x14ac:dyDescent="0.45">
      <c r="C35" s="1" t="s">
        <v>69</v>
      </c>
      <c r="D35" s="4">
        <v>62</v>
      </c>
      <c r="E35" s="3">
        <f t="shared" si="1"/>
        <v>0.13640000000000002</v>
      </c>
    </row>
    <row r="36" spans="3:5" x14ac:dyDescent="0.45">
      <c r="C36" s="1" t="s">
        <v>26</v>
      </c>
      <c r="D36" s="4">
        <v>128</v>
      </c>
      <c r="E36" s="3">
        <f t="shared" si="1"/>
        <v>0.28160000000000002</v>
      </c>
    </row>
    <row r="37" spans="3:5" x14ac:dyDescent="0.45">
      <c r="C37" s="1" t="s">
        <v>67</v>
      </c>
      <c r="D37" s="5">
        <f>SUM(D27:D36)</f>
        <v>2434</v>
      </c>
      <c r="E37" s="3">
        <f>SUM(E27:E36)</f>
        <v>5.3548000000000018</v>
      </c>
    </row>
    <row r="38" spans="3:5" x14ac:dyDescent="0.45">
      <c r="D38" s="6"/>
      <c r="E38" s="3"/>
    </row>
    <row r="39" spans="3:5" x14ac:dyDescent="0.45">
      <c r="C39" s="1" t="s">
        <v>9</v>
      </c>
      <c r="D39" s="4">
        <v>106</v>
      </c>
      <c r="E39" s="3">
        <f t="shared" si="0"/>
        <v>0.23320000000000002</v>
      </c>
    </row>
    <row r="40" spans="3:5" x14ac:dyDescent="0.45">
      <c r="C40" s="1" t="s">
        <v>10</v>
      </c>
      <c r="D40" s="4">
        <v>124</v>
      </c>
      <c r="E40" s="3">
        <f t="shared" si="0"/>
        <v>0.27280000000000004</v>
      </c>
    </row>
    <row r="41" spans="3:5" x14ac:dyDescent="0.45">
      <c r="C41" s="1" t="s">
        <v>11</v>
      </c>
      <c r="D41" s="4">
        <v>124</v>
      </c>
      <c r="E41" s="3">
        <f t="shared" si="0"/>
        <v>0.27280000000000004</v>
      </c>
    </row>
    <row r="42" spans="3:5" x14ac:dyDescent="0.45">
      <c r="C42" s="1" t="s">
        <v>15</v>
      </c>
      <c r="D42" s="4">
        <v>64</v>
      </c>
      <c r="E42" s="3">
        <f t="shared" si="0"/>
        <v>0.14080000000000001</v>
      </c>
    </row>
    <row r="43" spans="3:5" x14ac:dyDescent="0.45">
      <c r="C43" s="1" t="s">
        <v>12</v>
      </c>
      <c r="D43" s="4">
        <v>28</v>
      </c>
      <c r="E43" s="3">
        <f t="shared" si="0"/>
        <v>6.1600000000000009E-2</v>
      </c>
    </row>
    <row r="44" spans="3:5" x14ac:dyDescent="0.45">
      <c r="C44" s="1" t="s">
        <v>13</v>
      </c>
      <c r="D44" s="4">
        <v>8</v>
      </c>
      <c r="E44" s="3">
        <f t="shared" si="0"/>
        <v>1.7600000000000001E-2</v>
      </c>
    </row>
    <row r="45" spans="3:5" x14ac:dyDescent="0.45">
      <c r="C45" s="1" t="s">
        <v>14</v>
      </c>
      <c r="D45" s="4">
        <v>84</v>
      </c>
      <c r="E45" s="3">
        <f t="shared" si="0"/>
        <v>0.18480000000000002</v>
      </c>
    </row>
    <row r="46" spans="3:5" x14ac:dyDescent="0.45">
      <c r="C46" s="1" t="s">
        <v>16</v>
      </c>
      <c r="D46" s="4">
        <v>64</v>
      </c>
      <c r="E46" s="3">
        <f t="shared" si="0"/>
        <v>0.14080000000000001</v>
      </c>
    </row>
    <row r="47" spans="3:5" x14ac:dyDescent="0.45">
      <c r="C47" s="1" t="s">
        <v>72</v>
      </c>
      <c r="D47" s="4">
        <v>34</v>
      </c>
      <c r="E47" s="3">
        <f t="shared" si="0"/>
        <v>7.4800000000000005E-2</v>
      </c>
    </row>
    <row r="48" spans="3:5" x14ac:dyDescent="0.45">
      <c r="C48" s="1" t="s">
        <v>30</v>
      </c>
      <c r="D48" s="4">
        <v>244</v>
      </c>
      <c r="E48" s="3">
        <f t="shared" si="0"/>
        <v>0.53680000000000005</v>
      </c>
    </row>
    <row r="49" spans="3:5" x14ac:dyDescent="0.45">
      <c r="C49" s="1" t="s">
        <v>31</v>
      </c>
      <c r="D49" s="4">
        <v>46</v>
      </c>
      <c r="E49" s="3">
        <f t="shared" si="0"/>
        <v>0.10120000000000001</v>
      </c>
    </row>
    <row r="50" spans="3:5" x14ac:dyDescent="0.45">
      <c r="C50" s="1" t="s">
        <v>56</v>
      </c>
      <c r="D50" s="4">
        <f>54*2</f>
        <v>108</v>
      </c>
      <c r="E50" s="3">
        <f t="shared" si="0"/>
        <v>0.23760000000000001</v>
      </c>
    </row>
    <row r="51" spans="3:5" x14ac:dyDescent="0.45">
      <c r="C51" s="1" t="s">
        <v>67</v>
      </c>
      <c r="D51" s="5">
        <f>SUM(D39:D50)</f>
        <v>1034</v>
      </c>
      <c r="E51" s="3">
        <f>SUM(E39:E50)</f>
        <v>2.2747999999999999</v>
      </c>
    </row>
    <row r="52" spans="3:5" x14ac:dyDescent="0.45">
      <c r="D52" s="6"/>
      <c r="E52" s="3"/>
    </row>
    <row r="53" spans="3:5" x14ac:dyDescent="0.45">
      <c r="C53" s="1" t="s">
        <v>17</v>
      </c>
      <c r="D53" s="4">
        <v>126</v>
      </c>
      <c r="E53" s="3">
        <f t="shared" si="0"/>
        <v>0.2772</v>
      </c>
    </row>
    <row r="54" spans="3:5" x14ac:dyDescent="0.45">
      <c r="C54" s="1" t="s">
        <v>60</v>
      </c>
      <c r="D54" s="4">
        <v>10</v>
      </c>
      <c r="E54" s="3">
        <f t="shared" si="0"/>
        <v>2.2000000000000002E-2</v>
      </c>
    </row>
    <row r="55" spans="3:5" x14ac:dyDescent="0.45">
      <c r="C55" s="1" t="s">
        <v>38</v>
      </c>
      <c r="D55" s="4">
        <v>222</v>
      </c>
      <c r="E55" s="3">
        <f t="shared" si="0"/>
        <v>0.48840000000000006</v>
      </c>
    </row>
    <row r="56" spans="3:5" x14ac:dyDescent="0.45">
      <c r="C56" s="1" t="s">
        <v>62</v>
      </c>
      <c r="D56" s="4">
        <v>54</v>
      </c>
      <c r="E56" s="3">
        <f t="shared" si="0"/>
        <v>0.1188</v>
      </c>
    </row>
    <row r="57" spans="3:5" x14ac:dyDescent="0.45">
      <c r="C57" s="1" t="s">
        <v>40</v>
      </c>
      <c r="D57" s="4">
        <v>16</v>
      </c>
      <c r="E57" s="3">
        <f t="shared" si="0"/>
        <v>3.5200000000000002E-2</v>
      </c>
    </row>
    <row r="58" spans="3:5" x14ac:dyDescent="0.45">
      <c r="C58" s="1" t="s">
        <v>58</v>
      </c>
      <c r="D58" s="4">
        <v>42</v>
      </c>
      <c r="E58" s="3">
        <f t="shared" si="0"/>
        <v>9.240000000000001E-2</v>
      </c>
    </row>
    <row r="59" spans="3:5" x14ac:dyDescent="0.45">
      <c r="C59" s="1" t="s">
        <v>63</v>
      </c>
      <c r="D59" s="4">
        <v>16</v>
      </c>
      <c r="E59" s="3">
        <f t="shared" si="0"/>
        <v>3.5200000000000002E-2</v>
      </c>
    </row>
    <row r="60" spans="3:5" x14ac:dyDescent="0.45">
      <c r="C60" s="1" t="s">
        <v>68</v>
      </c>
      <c r="D60" s="4">
        <v>514</v>
      </c>
      <c r="E60" s="3">
        <f t="shared" si="0"/>
        <v>1.1308</v>
      </c>
    </row>
    <row r="61" spans="3:5" x14ac:dyDescent="0.45">
      <c r="C61" s="1" t="s">
        <v>71</v>
      </c>
      <c r="D61" s="4">
        <v>18</v>
      </c>
      <c r="E61" s="3">
        <f t="shared" si="0"/>
        <v>3.9600000000000003E-2</v>
      </c>
    </row>
    <row r="62" spans="3:5" x14ac:dyDescent="0.45">
      <c r="C62" s="1" t="s">
        <v>19</v>
      </c>
      <c r="D62" s="4">
        <v>44</v>
      </c>
      <c r="E62" s="3">
        <f t="shared" si="0"/>
        <v>9.6799999999999997E-2</v>
      </c>
    </row>
    <row r="63" spans="3:5" x14ac:dyDescent="0.45">
      <c r="C63" s="1" t="s">
        <v>67</v>
      </c>
      <c r="D63" s="5">
        <f>SUM(D53:D62)</f>
        <v>1062</v>
      </c>
      <c r="E63" s="3">
        <f>SUM(E53:E62)</f>
        <v>2.3364000000000003</v>
      </c>
    </row>
    <row r="64" spans="3:5" x14ac:dyDescent="0.45">
      <c r="D64" s="5"/>
      <c r="E64" s="3"/>
    </row>
    <row r="65" spans="3:5" x14ac:dyDescent="0.45">
      <c r="C65" s="1" t="s">
        <v>3</v>
      </c>
      <c r="D65" s="4">
        <v>232</v>
      </c>
      <c r="E65" s="3">
        <f>D65/1000*2.2</f>
        <v>0.51040000000000008</v>
      </c>
    </row>
    <row r="66" spans="3:5" x14ac:dyDescent="0.45">
      <c r="C66" s="1" t="s">
        <v>27</v>
      </c>
      <c r="D66" s="4">
        <v>126</v>
      </c>
      <c r="E66" s="3">
        <f t="shared" ref="E66:E79" si="2">D66/1000*2.2</f>
        <v>0.2772</v>
      </c>
    </row>
    <row r="67" spans="3:5" x14ac:dyDescent="0.45">
      <c r="C67" s="1" t="s">
        <v>4</v>
      </c>
      <c r="D67" s="4">
        <v>58</v>
      </c>
      <c r="E67" s="3">
        <f t="shared" si="2"/>
        <v>0.12760000000000002</v>
      </c>
    </row>
    <row r="68" spans="3:5" x14ac:dyDescent="0.45">
      <c r="C68" s="1" t="s">
        <v>5</v>
      </c>
      <c r="D68" s="4">
        <v>60</v>
      </c>
      <c r="E68" s="3">
        <f t="shared" si="2"/>
        <v>0.13200000000000001</v>
      </c>
    </row>
    <row r="69" spans="3:5" x14ac:dyDescent="0.45">
      <c r="C69" s="1" t="s">
        <v>34</v>
      </c>
      <c r="D69" s="4">
        <v>380</v>
      </c>
      <c r="E69" s="3">
        <f t="shared" si="2"/>
        <v>0.83600000000000008</v>
      </c>
    </row>
    <row r="70" spans="3:5" x14ac:dyDescent="0.45">
      <c r="C70" s="1" t="s">
        <v>36</v>
      </c>
      <c r="D70" s="4">
        <v>56</v>
      </c>
      <c r="E70" s="3">
        <f t="shared" si="2"/>
        <v>0.12320000000000002</v>
      </c>
    </row>
    <row r="71" spans="3:5" x14ac:dyDescent="0.45">
      <c r="C71" s="1" t="s">
        <v>37</v>
      </c>
      <c r="D71" s="4">
        <v>314</v>
      </c>
      <c r="E71" s="3">
        <f t="shared" si="2"/>
        <v>0.69080000000000008</v>
      </c>
    </row>
    <row r="72" spans="3:5" x14ac:dyDescent="0.45">
      <c r="C72" s="1" t="s">
        <v>46</v>
      </c>
      <c r="D72" s="4">
        <v>28</v>
      </c>
      <c r="E72" s="3">
        <f t="shared" si="2"/>
        <v>6.1600000000000009E-2</v>
      </c>
    </row>
    <row r="73" spans="3:5" x14ac:dyDescent="0.45">
      <c r="C73" s="1" t="s">
        <v>49</v>
      </c>
      <c r="D73" s="4">
        <v>26</v>
      </c>
      <c r="E73" s="3">
        <f t="shared" si="2"/>
        <v>5.7200000000000001E-2</v>
      </c>
    </row>
    <row r="74" spans="3:5" x14ac:dyDescent="0.45">
      <c r="C74" s="1" t="s">
        <v>59</v>
      </c>
      <c r="D74" s="4">
        <v>24</v>
      </c>
      <c r="E74" s="3">
        <f t="shared" si="2"/>
        <v>5.2800000000000007E-2</v>
      </c>
    </row>
    <row r="75" spans="3:5" x14ac:dyDescent="0.45">
      <c r="C75" s="1" t="s">
        <v>47</v>
      </c>
      <c r="D75" s="4">
        <v>34</v>
      </c>
      <c r="E75" s="3">
        <f>D75/1000*2.2</f>
        <v>7.4800000000000005E-2</v>
      </c>
    </row>
    <row r="76" spans="3:5" x14ac:dyDescent="0.45">
      <c r="C76" s="1" t="s">
        <v>51</v>
      </c>
      <c r="D76" s="4">
        <v>48</v>
      </c>
      <c r="E76" s="3">
        <f t="shared" si="2"/>
        <v>0.10560000000000001</v>
      </c>
    </row>
    <row r="77" spans="3:5" x14ac:dyDescent="0.45">
      <c r="C77" s="1" t="s">
        <v>64</v>
      </c>
      <c r="D77" s="4">
        <v>78</v>
      </c>
      <c r="E77" s="3">
        <f t="shared" si="2"/>
        <v>0.1716</v>
      </c>
    </row>
    <row r="78" spans="3:5" x14ac:dyDescent="0.45">
      <c r="C78" s="1" t="s">
        <v>50</v>
      </c>
      <c r="D78" s="4">
        <v>78</v>
      </c>
      <c r="E78" s="3">
        <f t="shared" si="2"/>
        <v>0.1716</v>
      </c>
    </row>
    <row r="79" spans="3:5" x14ac:dyDescent="0.45">
      <c r="C79" s="1" t="s">
        <v>39</v>
      </c>
      <c r="D79" s="4">
        <v>178</v>
      </c>
      <c r="E79" s="3">
        <f t="shared" si="2"/>
        <v>0.3916</v>
      </c>
    </row>
    <row r="80" spans="3:5" x14ac:dyDescent="0.45">
      <c r="C80" s="1" t="s">
        <v>54</v>
      </c>
      <c r="D80" s="4">
        <v>170</v>
      </c>
      <c r="E80" s="3">
        <f t="shared" ref="E80" si="3">D80/1000*2.2</f>
        <v>0.37400000000000005</v>
      </c>
    </row>
    <row r="81" spans="3:5" x14ac:dyDescent="0.45">
      <c r="C81" s="1" t="s">
        <v>67</v>
      </c>
      <c r="D81" s="5">
        <f>SUM(D65:D80)</f>
        <v>1890</v>
      </c>
      <c r="E81" s="3">
        <f>SUM(E65:E80)</f>
        <v>4.1580000000000004</v>
      </c>
    </row>
    <row r="82" spans="3:5" x14ac:dyDescent="0.45">
      <c r="D82" s="5"/>
      <c r="E82" s="3"/>
    </row>
    <row r="83" spans="3:5" x14ac:dyDescent="0.45">
      <c r="D83" s="10" t="s">
        <v>52</v>
      </c>
      <c r="E83" s="11" t="s">
        <v>66</v>
      </c>
    </row>
    <row r="84" spans="3:5" x14ac:dyDescent="0.45">
      <c r="C84" s="1" t="s">
        <v>43</v>
      </c>
      <c r="D84" s="5">
        <f>D25+D37+D51+D63+D81</f>
        <v>7644</v>
      </c>
      <c r="E84" s="3">
        <f>E25+E37+E51+E63+E81</f>
        <v>16.816800000000004</v>
      </c>
    </row>
    <row r="85" spans="3:5" x14ac:dyDescent="0.45">
      <c r="C85" s="7" t="s">
        <v>65</v>
      </c>
      <c r="D85" s="8">
        <f>D18</f>
        <v>2580</v>
      </c>
      <c r="E85" s="9">
        <f>E18</f>
        <v>5.6759999999999993</v>
      </c>
    </row>
    <row r="86" spans="3:5" x14ac:dyDescent="0.45">
      <c r="C86" s="1" t="s">
        <v>44</v>
      </c>
      <c r="D86" s="5">
        <f>D84+D85</f>
        <v>10224</v>
      </c>
      <c r="E86" s="3">
        <f>E84+E85</f>
        <v>22.492800000000003</v>
      </c>
    </row>
  </sheetData>
  <pageMargins left="0.7" right="0.7" top="0.75" bottom="0.75" header="0.3" footer="0.3"/>
  <pageSetup scale="81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Tokaido Packing List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Cooperband</dc:creator>
  <cp:lastModifiedBy>Aaron Cooperband</cp:lastModifiedBy>
  <cp:lastPrinted>2023-09-15T19:38:01Z</cp:lastPrinted>
  <dcterms:created xsi:type="dcterms:W3CDTF">2023-07-10T21:52:33Z</dcterms:created>
  <dcterms:modified xsi:type="dcterms:W3CDTF">2023-10-03T13:44:08Z</dcterms:modified>
</cp:coreProperties>
</file>